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uKe\Downloads\"/>
    </mc:Choice>
  </mc:AlternateContent>
  <xr:revisionPtr revIDLastSave="0" documentId="13_ncr:1_{1EC021AE-DCC8-4015-AF83-61DE5CAD669C}" xr6:coauthVersionLast="47" xr6:coauthVersionMax="47" xr10:uidLastSave="{00000000-0000-0000-0000-000000000000}"/>
  <bookViews>
    <workbookView xWindow="-108" yWindow="-108" windowWidth="23256" windowHeight="12456" xr2:uid="{00000000-000D-0000-FFFF-FFFF00000000}"/>
  </bookViews>
  <sheets>
    <sheet name="見積もり資料"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6" i="1" l="1"/>
  <c r="M36" i="1" s="1"/>
  <c r="K36" i="1"/>
  <c r="K34" i="1"/>
  <c r="L34" i="1" s="1"/>
  <c r="M34" i="1" s="1"/>
  <c r="K33" i="1"/>
  <c r="L33" i="1" s="1"/>
  <c r="M33" i="1" s="1"/>
  <c r="M32" i="1"/>
  <c r="L32" i="1"/>
  <c r="K32" i="1"/>
  <c r="L31" i="1"/>
  <c r="M31" i="1" s="1"/>
  <c r="K31" i="1"/>
  <c r="K30" i="1"/>
  <c r="L30" i="1" s="1"/>
  <c r="M30" i="1" s="1"/>
  <c r="K29" i="1"/>
  <c r="L29" i="1" s="1"/>
  <c r="M29" i="1" s="1"/>
  <c r="M28" i="1"/>
  <c r="L28" i="1"/>
  <c r="K28" i="1"/>
  <c r="L27" i="1"/>
  <c r="M27" i="1" s="1"/>
  <c r="K27" i="1"/>
  <c r="K26" i="1"/>
  <c r="L26" i="1" s="1"/>
  <c r="M26" i="1" s="1"/>
  <c r="K25" i="1"/>
  <c r="L25" i="1" s="1"/>
  <c r="M25" i="1" s="1"/>
  <c r="K24" i="1"/>
  <c r="L24" i="1" s="1"/>
  <c r="M24" i="1" s="1"/>
  <c r="L23" i="1"/>
  <c r="M23" i="1" s="1"/>
  <c r="K23" i="1"/>
  <c r="K22" i="1"/>
  <c r="L22" i="1" s="1"/>
  <c r="M22" i="1" s="1"/>
  <c r="K21" i="1"/>
  <c r="L21" i="1" s="1"/>
  <c r="M21" i="1" s="1"/>
  <c r="K20" i="1"/>
  <c r="L20" i="1" s="1"/>
  <c r="M20" i="1" s="1"/>
  <c r="L19" i="1"/>
  <c r="M19" i="1" s="1"/>
  <c r="K19" i="1"/>
  <c r="K18" i="1"/>
  <c r="L18" i="1" s="1"/>
  <c r="M18" i="1" s="1"/>
  <c r="K17" i="1"/>
  <c r="L17" i="1" s="1"/>
  <c r="M17" i="1" s="1"/>
  <c r="K16" i="1"/>
  <c r="L16" i="1" s="1"/>
  <c r="M16" i="1" s="1"/>
  <c r="L15" i="1"/>
  <c r="M15" i="1" s="1"/>
  <c r="K15" i="1"/>
  <c r="K14" i="1"/>
  <c r="L14" i="1" s="1"/>
  <c r="M14" i="1" s="1"/>
  <c r="K13" i="1"/>
  <c r="L13" i="1" s="1"/>
  <c r="M13" i="1" s="1"/>
  <c r="K12" i="1"/>
  <c r="L12" i="1" s="1"/>
  <c r="M12" i="1" s="1"/>
  <c r="L11" i="1"/>
  <c r="M11" i="1" s="1"/>
  <c r="K11" i="1"/>
  <c r="K10" i="1"/>
  <c r="L10" i="1" s="1"/>
  <c r="M10" i="1" s="1"/>
  <c r="K9" i="1"/>
  <c r="L9" i="1" s="1"/>
  <c r="M9" i="1" s="1"/>
  <c r="K8" i="1"/>
  <c r="L8" i="1" s="1"/>
  <c r="M8" i="1" s="1"/>
  <c r="L7" i="1"/>
  <c r="M7" i="1" s="1"/>
  <c r="K7" i="1"/>
  <c r="K5" i="1"/>
  <c r="L5" i="1" s="1"/>
  <c r="M5" i="1" s="1"/>
  <c r="K4" i="1"/>
  <c r="K37" i="1" s="1"/>
  <c r="L4" i="1" l="1"/>
  <c r="L37" i="1" l="1"/>
  <c r="M4" i="1"/>
  <c r="M37" i="1" s="1"/>
</calcChain>
</file>

<file path=xl/sharedStrings.xml><?xml version="1.0" encoding="utf-8"?>
<sst xmlns="http://schemas.openxmlformats.org/spreadsheetml/2006/main" count="223" uniqueCount="131">
  <si>
    <t>AWSリソース名</t>
  </si>
  <si>
    <t>環境</t>
  </si>
  <si>
    <t>要件について</t>
  </si>
  <si>
    <t>課金条件1</t>
  </si>
  <si>
    <t>課金条件2</t>
  </si>
  <si>
    <t>課金条件3</t>
  </si>
  <si>
    <t>料金計算式</t>
  </si>
  <si>
    <t>料金(USD)</t>
  </si>
  <si>
    <t>換算レート</t>
  </si>
  <si>
    <t>月額想定費用(JPY)</t>
  </si>
  <si>
    <t>年額想定費用(JPY)</t>
  </si>
  <si>
    <t>3年間想定費用(JPY)</t>
  </si>
  <si>
    <t>Route53</t>
  </si>
  <si>
    <t>本番環境(Prod)</t>
  </si>
  <si>
    <t>Fargate/ECS</t>
  </si>
  <si>
    <t>本番</t>
  </si>
  <si>
    <t>Laravelコンテナの実行基盤。マルチAZで常時2タスク構成。</t>
  </si>
  <si>
    <t>タスク数：2</t>
  </si>
  <si>
    <t>0.25 vCPU / 0.5 GB</t>
  </si>
  <si>
    <t>稼働時間：730時間/月</t>
  </si>
  <si>
    <t>【月額】22.49×130【1年額】月額×12【3年額】1年額×3</t>
  </si>
  <si>
    <t>CloudFront</t>
  </si>
  <si>
    <t>ALB</t>
  </si>
  <si>
    <t>本番ECSタスクへのトラフィック負荷分散（2AZ冗長）。</t>
  </si>
  <si>
    <t>ALB数：1</t>
  </si>
  <si>
    <t>最小LCU：1 / ALB</t>
  </si>
  <si>
    <t>【月額】33.74×130【1年額】月額×12【3年額】1年額×3</t>
  </si>
  <si>
    <t>※本番アプリケーション（2AZ構成）へのトラフィック負荷分散および常時HTTPS(443)通信の受付。システム稼働の最低要件として1 LCU（月間データ処理量 800GB相当のバッファ枠）を基本固定費に算入。</t>
  </si>
  <si>
    <t>S3</t>
  </si>
  <si>
    <t>本番Webサイト公開用のHTTPS配信。小規模アクセス想定。</t>
  </si>
  <si>
    <t>ディストリビューション：1</t>
  </si>
  <si>
    <t>データ転送量：10 GB/月</t>
  </si>
  <si>
    <t>リクエスト数：10万回/月</t>
  </si>
  <si>
    <t>【月額】1.26×130【1年額】月額×12【3年額】1年額×3</t>
  </si>
  <si>
    <t>WAF</t>
  </si>
  <si>
    <t>CloudFront前段セキュリティ。Geo Matchによる日本限定制限。</t>
  </si>
  <si>
    <t>Web ACL数：1</t>
  </si>
  <si>
    <t>ルール数：1個</t>
  </si>
  <si>
    <t>【月額】6.06×130【1年額】月額×12【3年額】1年額×3</t>
  </si>
  <si>
    <t>RDS(MｙSQL)</t>
  </si>
  <si>
    <t>データベース基盤。Multi-AZ有効による本番用の可用性構成。</t>
  </si>
  <si>
    <t>インスタンス数：1</t>
  </si>
  <si>
    <t>db.t4g.micro (Multi-AZ)</t>
  </si>
  <si>
    <t>ストレージ：gp3 20GB</t>
  </si>
  <si>
    <t>【月額】86.55×130【1年額】月額×12【3年額】1年額×3</t>
  </si>
  <si>
    <t>NAT Gateway</t>
  </si>
  <si>
    <t>プライベートサブネット（ECS/RDS）からのインターネット通信用。</t>
  </si>
  <si>
    <t>NATGW数：1</t>
  </si>
  <si>
    <t>データ処理量：10 GB/月</t>
  </si>
  <si>
    <t>【月額】91.76×130【1年額】月額×12【3年額】1年額×3</t>
  </si>
  <si>
    <t>SNS</t>
  </si>
  <si>
    <t>CodePipelineのビルド成果物（Artifact）一時保管用。</t>
  </si>
  <si>
    <t>バケット数：1 (Artifact用)</t>
  </si>
  <si>
    <t>データ保存量：1 GB</t>
  </si>
  <si>
    <t>標準クラス (S3 Standard)</t>
  </si>
  <si>
    <t>【月額】0.03×130【1年額】月額×12【3年額】1年額×3</t>
  </si>
  <si>
    <t>Cloudwatch</t>
  </si>
  <si>
    <t>ECSタスクのアプリケーションログ収集（保持期間7日）。</t>
  </si>
  <si>
    <t>ロググループ：1</t>
  </si>
  <si>
    <t>取り込み量：1 GB/月</t>
  </si>
  <si>
    <t>【月額】0.76×130【1年額】月額×12【3年額】1年額×3</t>
  </si>
  <si>
    <t>異常検知時の管理者へのアラームメール通知用。</t>
  </si>
  <si>
    <t>トピック数：1</t>
  </si>
  <si>
    <t>月間通知数：100件</t>
  </si>
  <si>
    <t>100件 × $0.00 (Email通知は毎月1,000件まで無料)</t>
  </si>
  <si>
    <t>CodePipeline</t>
  </si>
  <si>
    <t>mainブランチマージをトリガーとする自動デプロイ制御。</t>
  </si>
  <si>
    <t>パイプライン数：1</t>
  </si>
  <si>
    <t>1パイプライン利用（検証側と合算して1つ無料枠相殺）</t>
  </si>
  <si>
    <t>CodeBuild</t>
  </si>
  <si>
    <t>本番用コンテナイメージの自動ビルド（2分×10回）。</t>
  </si>
  <si>
    <t>プロジェクト数：1</t>
  </si>
  <si>
    <t>general1.small</t>
  </si>
  <si>
    <t>月間ビルド：20分</t>
  </si>
  <si>
    <t>【月額】0.1×130【1年額】月額×12【3年額】1年額×3</t>
  </si>
  <si>
    <t>ECR</t>
  </si>
  <si>
    <t>ビルドされた本番用コンテナイメージの格納・世代管理。</t>
  </si>
  <si>
    <t>リポジトリ数：1</t>
  </si>
  <si>
    <t>データ保存量：2 GB</t>
  </si>
  <si>
    <t>【月額】0.2×130【1年額】月額×12【3年額】1年額×3</t>
  </si>
  <si>
    <t>注意事項</t>
  </si>
  <si>
    <t>ACM</t>
  </si>
  <si>
    <t>WebサイトHTTPS化のためのパブリックSSL/TLS証明書。</t>
  </si>
  <si>
    <t>証明書数：2</t>
  </si>
  <si>
    <t>AWSパブリック証明書の管理・発行は無料</t>
  </si>
  <si>
    <t>概算の料金は、計算が難しい、もしくは見積りが難しいのでざっくりの費用計算で算出しているものです。</t>
  </si>
  <si>
    <t>730時間は1ヶ月あたりの平均時間としてAWSが利用しているものです。</t>
  </si>
  <si>
    <t>EC2_Bastion</t>
  </si>
  <si>
    <t>メンテナンス・運用保守用の踏み台環境（常時稼働想定）。</t>
  </si>
  <si>
    <t>見積もりは、実際の課金料金とは異なります。基本的には少し多めに見積もる前提です。(AWSの料金に対してというより、通信量などで多く見積もりを実施)</t>
  </si>
  <si>
    <t>t2.micro</t>
  </si>
  <si>
    <t>【月額】11.87×130【1年額】月額×12【3年額】1年額×3</t>
  </si>
  <si>
    <t>検証環境(dev)</t>
  </si>
  <si>
    <t>検証</t>
  </si>
  <si>
    <t>Laravelコンテナの実行基盤。本番と同一スペックの2タスク。</t>
  </si>
  <si>
    <t>検証ECSタスクへのトラフィック負荷分散（2AZ冗長）。</t>
  </si>
  <si>
    <t>検証Webサイト公開用のHTTPS配信。小規模アクセス想定。</t>
  </si>
  <si>
    <t>データ転送量：3 GB/月</t>
  </si>
  <si>
    <t>リクエスト数：3万回/月</t>
  </si>
  <si>
    <t>【月額】0.38×130【1年額】月額×12【3年額】1年額×3</t>
  </si>
  <si>
    <t>CloudFront前段セキュリティ。IP Setによる開発者IP制限。</t>
  </si>
  <si>
    <t>【月額】6.02×130【1年額】月額×12【3年額】1年額×3</t>
  </si>
  <si>
    <t>データベース基盤。本番同一スペックでの動作検証用構成。</t>
  </si>
  <si>
    <t>データ処理量：5 GB/月</t>
  </si>
  <si>
    <t>【月額】91.14×130【1年額】月額×12【3年額】1年額×3</t>
  </si>
  <si>
    <t>取り込み量：0.5 GB/月</t>
  </si>
  <si>
    <t>100件 × $0.00 (Email通知は無料)</t>
  </si>
  <si>
    <t>devブランチマージをトリガーとする自動デプロイ制御。</t>
  </si>
  <si>
    <t>1パイプライン利用（本番側と合算して1つ無料枠相殺）</t>
  </si>
  <si>
    <t>検証環境用コンテナイメージの自動ビルド（2分×20回）。</t>
  </si>
  <si>
    <t>月間ビルド：40分</t>
  </si>
  <si>
    <t>ビルドされた検証用コンテナイメージの格納・世代管理。</t>
  </si>
  <si>
    <t>動作検証・疎通テスト確認用の踏み台環境（常時稼働想定）。</t>
  </si>
  <si>
    <t>共通リソース</t>
  </si>
  <si>
    <t>共通</t>
  </si>
  <si>
    <t>独自ドメインおよび検証用サブドメインのDNS名前解決管理。</t>
  </si>
  <si>
    <t>ホストゾーン数：1</t>
  </si>
  <si>
    <t>クエリ数：10万回/月</t>
  </si>
  <si>
    <t>【月額】0.54×130【1年額】月額×12【3年額】1年額×3</t>
  </si>
  <si>
    <t>S3(Terrafom.tfstate用)</t>
  </si>
  <si>
    <t>Terraformの環境状態管理ファイル（tfstate）の保管用。</t>
  </si>
  <si>
    <t>バケット数：1 (tfState用)</t>
  </si>
  <si>
    <t>データ保存量：2 GB未満</t>
  </si>
  <si>
    <t>【月額】0【1年額】0【3年額】0</t>
  </si>
  <si>
    <t>※データ保存量が2GB未満で極めて微小なため、S3 Standardの最低基本料金未満となりツール上では$0.00[無料枠内]として計算</t>
  </si>
  <si>
    <t>通信料</t>
  </si>
  <si>
    <t>各種バーストアクセス等を考慮した多めのデータ転送バッファ枠。</t>
  </si>
  <si>
    <t>インバウンド：無料</t>
  </si>
  <si>
    <t>アウトバウンド：無料枠内</t>
  </si>
  <si>
    <t>CloudFront転送費に内包</t>
  </si>
  <si>
    <t>CloudFrontおよびNAT Gatewayの処理費に含むため追加なし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</si>
</sst>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M PLUS 1p"/>
    </font>
    <font>
      <sz val="10"/>
      <color theme="1"/>
      <name val="Arial"/>
      <family val="2"/>
      <scheme val="minor"/>
    </font>
    <font>
      <sz val="10"/>
      <color theme="1"/>
      <name val="Arial"/>
      <family val="2"/>
    </font>
    <font>
      <sz val="10"/>
      <color rgb="FF16191F"/>
      <name val="M PLUS 1p"/>
    </font>
    <font>
      <sz val="11"/>
      <color rgb="FF16191F"/>
      <name val="M PLUS 1p"/>
    </font>
    <font>
      <sz val="10"/>
      <name val="Arial"/>
      <family val="2"/>
    </font>
    <font>
      <sz val="10"/>
      <color theme="1"/>
      <name val="M PLUS 1p"/>
    </font>
    <font>
      <sz val="12"/>
      <color theme="1"/>
      <name val="Arial"/>
      <family val="2"/>
    </font>
    <font>
      <sz val="11"/>
      <color theme="1"/>
      <name val="Monospace"/>
    </font>
    <font>
      <sz val="6"/>
      <name val="Arial"/>
      <family val="3"/>
      <charset val="128"/>
      <scheme val="minor"/>
    </font>
  </fonts>
  <fills count="5">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s>
  <borders count="29">
    <border>
      <left/>
      <right/>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medium">
        <color rgb="FF000000"/>
      </right>
      <top style="thin">
        <color rgb="FF000000"/>
      </top>
      <bottom style="dotted">
        <color rgb="FF000000"/>
      </bottom>
      <diagonal/>
    </border>
    <border>
      <left style="medium">
        <color rgb="FF000000"/>
      </left>
      <right style="medium">
        <color rgb="FF000000"/>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style="thin">
        <color rgb="FF000000"/>
      </left>
      <right style="medium">
        <color rgb="FF000000"/>
      </right>
      <top style="dotted">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63">
    <xf numFmtId="0" fontId="0" fillId="0" borderId="0" xfId="0"/>
    <xf numFmtId="0" fontId="1" fillId="0" borderId="0" xfId="0" applyFont="1" applyAlignment="1">
      <alignment horizontal="left" wrapText="1"/>
    </xf>
    <xf numFmtId="0" fontId="1" fillId="0" borderId="0" xfId="0" applyFont="1" applyAlignment="1">
      <alignment horizontal="right" wrapText="1"/>
    </xf>
    <xf numFmtId="0" fontId="1" fillId="2" borderId="1" xfId="0" applyFont="1" applyFill="1" applyBorder="1" applyAlignment="1">
      <alignment horizontal="left" wrapText="1"/>
    </xf>
    <xf numFmtId="0" fontId="1" fillId="2" borderId="1" xfId="0" applyFont="1" applyFill="1" applyBorder="1" applyAlignment="1">
      <alignment horizontal="right" wrapText="1"/>
    </xf>
    <xf numFmtId="0" fontId="1" fillId="2" borderId="2" xfId="0" applyFont="1" applyFill="1" applyBorder="1" applyAlignment="1">
      <alignment horizontal="righ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2" fillId="0" borderId="5" xfId="0" applyFont="1" applyBorder="1" applyAlignment="1">
      <alignment wrapText="1"/>
    </xf>
    <xf numFmtId="0" fontId="1" fillId="0" borderId="5" xfId="0" applyFont="1" applyBorder="1" applyAlignment="1">
      <alignment horizontal="left" wrapText="1"/>
    </xf>
    <xf numFmtId="0" fontId="1" fillId="0" borderId="5" xfId="0" applyFont="1" applyBorder="1" applyAlignment="1">
      <alignment horizontal="right" wrapText="1"/>
    </xf>
    <xf numFmtId="0" fontId="1" fillId="0" borderId="6" xfId="0" applyFont="1" applyBorder="1" applyAlignment="1">
      <alignment horizontal="right" wrapText="1"/>
    </xf>
    <xf numFmtId="0" fontId="1" fillId="0" borderId="7" xfId="0" applyFont="1" applyBorder="1" applyAlignment="1">
      <alignment horizontal="right" wrapText="1"/>
    </xf>
    <xf numFmtId="0" fontId="1" fillId="0" borderId="8" xfId="0" applyFont="1" applyBorder="1" applyAlignment="1">
      <alignment horizontal="left" wrapText="1"/>
    </xf>
    <xf numFmtId="0" fontId="1" fillId="0" borderId="9" xfId="0" applyFont="1" applyBorder="1" applyAlignment="1">
      <alignment horizontal="left" wrapText="1"/>
    </xf>
    <xf numFmtId="0" fontId="1" fillId="0" borderId="10" xfId="0" applyFont="1" applyBorder="1" applyAlignment="1">
      <alignment horizontal="left" wrapText="1"/>
    </xf>
    <xf numFmtId="0" fontId="3" fillId="3" borderId="10" xfId="0" applyFont="1" applyFill="1" applyBorder="1" applyAlignment="1">
      <alignment wrapText="1"/>
    </xf>
    <xf numFmtId="0" fontId="3" fillId="0" borderId="10" xfId="0" applyFont="1" applyBorder="1" applyAlignment="1">
      <alignment horizontal="right" wrapText="1"/>
    </xf>
    <xf numFmtId="0" fontId="1" fillId="0" borderId="10" xfId="0" applyFont="1" applyBorder="1" applyAlignment="1">
      <alignment horizontal="right" wrapText="1"/>
    </xf>
    <xf numFmtId="0" fontId="1" fillId="0" borderId="11" xfId="0" applyFont="1" applyBorder="1" applyAlignment="1">
      <alignment horizontal="right" wrapText="1"/>
    </xf>
    <xf numFmtId="0" fontId="1" fillId="0" borderId="12" xfId="0" applyFont="1" applyBorder="1" applyAlignment="1">
      <alignment horizontal="left" wrapText="1"/>
    </xf>
    <xf numFmtId="0" fontId="1" fillId="0" borderId="13" xfId="0" applyFont="1" applyBorder="1" applyAlignment="1">
      <alignment horizontal="left" wrapText="1"/>
    </xf>
    <xf numFmtId="0" fontId="1" fillId="0" borderId="14" xfId="0" applyFont="1" applyBorder="1" applyAlignment="1">
      <alignment horizontal="left" wrapText="1"/>
    </xf>
    <xf numFmtId="0" fontId="1" fillId="0" borderId="14" xfId="0" applyFont="1" applyBorder="1" applyAlignment="1">
      <alignment horizontal="right" wrapText="1"/>
    </xf>
    <xf numFmtId="0" fontId="1" fillId="0" borderId="17" xfId="0" applyFont="1" applyBorder="1" applyAlignment="1">
      <alignment horizontal="right" wrapText="1"/>
    </xf>
    <xf numFmtId="0" fontId="1" fillId="0" borderId="18" xfId="0" applyFont="1" applyBorder="1" applyAlignment="1">
      <alignment horizontal="left" wrapText="1"/>
    </xf>
    <xf numFmtId="0" fontId="1" fillId="0" borderId="19" xfId="0" applyFont="1" applyBorder="1" applyAlignment="1">
      <alignment horizontal="left" wrapText="1"/>
    </xf>
    <xf numFmtId="0" fontId="1" fillId="0" borderId="6" xfId="0" applyFont="1" applyBorder="1" applyAlignment="1">
      <alignment horizontal="left" wrapText="1"/>
    </xf>
    <xf numFmtId="0" fontId="1" fillId="3" borderId="6" xfId="0" applyFont="1" applyFill="1" applyBorder="1" applyAlignment="1">
      <alignment horizontal="left" wrapText="1"/>
    </xf>
    <xf numFmtId="0" fontId="7" fillId="3" borderId="6" xfId="0" applyFont="1" applyFill="1" applyBorder="1" applyAlignment="1">
      <alignment horizontal="left" wrapText="1"/>
    </xf>
    <xf numFmtId="0" fontId="7" fillId="0" borderId="6" xfId="0" applyFont="1" applyBorder="1" applyAlignment="1">
      <alignment horizontal="right" wrapText="1"/>
    </xf>
    <xf numFmtId="0" fontId="4" fillId="0" borderId="6" xfId="0" applyFont="1" applyBorder="1" applyAlignment="1">
      <alignment horizontal="left" wrapText="1"/>
    </xf>
    <xf numFmtId="0" fontId="5" fillId="3" borderId="6" xfId="0" applyFont="1" applyFill="1" applyBorder="1" applyAlignment="1">
      <alignment horizontal="right" wrapText="1"/>
    </xf>
    <xf numFmtId="0" fontId="5" fillId="0" borderId="6" xfId="0" applyFont="1" applyBorder="1" applyAlignment="1">
      <alignment horizontal="left" wrapText="1"/>
    </xf>
    <xf numFmtId="0" fontId="2" fillId="0" borderId="18" xfId="0" applyFont="1" applyBorder="1" applyAlignment="1">
      <alignment wrapText="1"/>
    </xf>
    <xf numFmtId="0" fontId="1" fillId="0" borderId="20" xfId="0" applyFont="1" applyBorder="1" applyAlignment="1">
      <alignment horizontal="left" wrapText="1"/>
    </xf>
    <xf numFmtId="0" fontId="1" fillId="0" borderId="21" xfId="0" applyFont="1" applyBorder="1" applyAlignment="1">
      <alignment horizontal="left" wrapText="1"/>
    </xf>
    <xf numFmtId="0" fontId="1" fillId="0" borderId="22" xfId="0" applyFont="1" applyBorder="1" applyAlignment="1">
      <alignment horizontal="left" wrapText="1"/>
    </xf>
    <xf numFmtId="0" fontId="1" fillId="3" borderId="22" xfId="0" applyFont="1" applyFill="1" applyBorder="1" applyAlignment="1">
      <alignment horizontal="left" wrapText="1"/>
    </xf>
    <xf numFmtId="0" fontId="1" fillId="0" borderId="22" xfId="0" applyFont="1" applyBorder="1" applyAlignment="1">
      <alignment horizontal="right" wrapText="1"/>
    </xf>
    <xf numFmtId="0" fontId="1" fillId="0" borderId="23" xfId="0" applyFont="1" applyBorder="1" applyAlignment="1">
      <alignment horizontal="right" wrapText="1"/>
    </xf>
    <xf numFmtId="0" fontId="1" fillId="3" borderId="5" xfId="0" applyFont="1" applyFill="1" applyBorder="1" applyAlignment="1">
      <alignment horizontal="left" wrapText="1"/>
    </xf>
    <xf numFmtId="0" fontId="1" fillId="0" borderId="24" xfId="0" applyFont="1" applyBorder="1" applyAlignment="1">
      <alignment horizontal="right" wrapText="1"/>
    </xf>
    <xf numFmtId="0" fontId="3" fillId="3" borderId="6" xfId="0" applyFont="1" applyFill="1" applyBorder="1" applyAlignment="1">
      <alignment wrapText="1"/>
    </xf>
    <xf numFmtId="0" fontId="3" fillId="0" borderId="6" xfId="0" applyFont="1" applyBorder="1" applyAlignment="1">
      <alignment horizontal="right" wrapText="1"/>
    </xf>
    <xf numFmtId="0" fontId="2" fillId="0" borderId="3" xfId="0" applyFont="1" applyBorder="1" applyAlignment="1">
      <alignment wrapText="1"/>
    </xf>
    <xf numFmtId="0" fontId="4" fillId="0" borderId="5" xfId="0" applyFont="1" applyBorder="1" applyAlignment="1">
      <alignment horizontal="left" wrapText="1"/>
    </xf>
    <xf numFmtId="0" fontId="5" fillId="3" borderId="5" xfId="0" applyFont="1" applyFill="1" applyBorder="1" applyAlignment="1">
      <alignment horizontal="right" wrapText="1"/>
    </xf>
    <xf numFmtId="0" fontId="5" fillId="0" borderId="10" xfId="0" applyFont="1" applyBorder="1" applyAlignment="1">
      <alignment horizontal="left" wrapText="1"/>
    </xf>
    <xf numFmtId="0" fontId="5" fillId="0" borderId="14" xfId="0" applyFont="1" applyBorder="1" applyAlignment="1">
      <alignment horizontal="left" wrapText="1"/>
    </xf>
    <xf numFmtId="0" fontId="1" fillId="0" borderId="25" xfId="0" applyFont="1" applyBorder="1" applyAlignment="1">
      <alignment horizontal="left" wrapText="1"/>
    </xf>
    <xf numFmtId="0" fontId="1" fillId="0" borderId="26" xfId="0" applyFont="1" applyBorder="1" applyAlignment="1">
      <alignment horizontal="left" wrapText="1"/>
    </xf>
    <xf numFmtId="0" fontId="5" fillId="0" borderId="27" xfId="0" applyFont="1" applyBorder="1" applyAlignment="1">
      <alignment horizontal="left" wrapText="1"/>
    </xf>
    <xf numFmtId="0" fontId="1" fillId="0" borderId="27" xfId="0" applyFont="1" applyBorder="1" applyAlignment="1">
      <alignment horizontal="left" wrapText="1"/>
    </xf>
    <xf numFmtId="0" fontId="1" fillId="0" borderId="27" xfId="0" applyFont="1" applyBorder="1" applyAlignment="1">
      <alignment horizontal="right" wrapText="1"/>
    </xf>
    <xf numFmtId="0" fontId="1" fillId="0" borderId="28" xfId="0" applyFont="1" applyBorder="1" applyAlignment="1">
      <alignment horizontal="right" wrapText="1"/>
    </xf>
    <xf numFmtId="0" fontId="8" fillId="0" borderId="0" xfId="0" applyFont="1"/>
    <xf numFmtId="0" fontId="9" fillId="0" borderId="0" xfId="0" applyFont="1"/>
    <xf numFmtId="0" fontId="1" fillId="4" borderId="15" xfId="0" applyFont="1" applyFill="1" applyBorder="1" applyAlignment="1">
      <alignment horizontal="left" wrapText="1"/>
    </xf>
    <xf numFmtId="0" fontId="6" fillId="0" borderId="16" xfId="0" applyFont="1" applyBorder="1"/>
    <xf numFmtId="0" fontId="6" fillId="0" borderId="13" xfId="0" applyFont="1" applyBorder="1"/>
    <xf numFmtId="0" fontId="1" fillId="0" borderId="0" xfId="0" applyFont="1" applyAlignment="1">
      <alignment horizontal="left" wrapText="1"/>
    </xf>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N47"/>
  <sheetViews>
    <sheetView tabSelected="1" workbookViewId="0">
      <pane xSplit="2" ySplit="3" topLeftCell="C4" activePane="bottomRight" state="frozen"/>
      <selection pane="topRight" activeCell="C1" sqref="C1"/>
      <selection pane="bottomLeft" activeCell="A4" sqref="A4"/>
      <selection pane="bottomRight" activeCell="D38" sqref="D38"/>
    </sheetView>
  </sheetViews>
  <sheetFormatPr defaultColWidth="12.6640625" defaultRowHeight="15.75" customHeight="1"/>
  <cols>
    <col min="1" max="1" width="15.21875" customWidth="1"/>
    <col min="2" max="2" width="16.77734375" customWidth="1"/>
    <col min="3" max="3" width="14.33203125" customWidth="1"/>
    <col min="4" max="4" width="42.44140625" customWidth="1"/>
    <col min="5" max="7" width="23.77734375" customWidth="1"/>
    <col min="8" max="8" width="61.44140625" customWidth="1"/>
    <col min="10" max="10" width="14.21875" customWidth="1"/>
    <col min="11" max="13" width="15.44140625" customWidth="1"/>
  </cols>
  <sheetData>
    <row r="1" spans="1:14">
      <c r="A1" s="1"/>
      <c r="B1" s="1"/>
      <c r="C1" s="1"/>
      <c r="D1" s="1"/>
      <c r="E1" s="1"/>
      <c r="F1" s="1"/>
      <c r="G1" s="1"/>
      <c r="H1" s="1"/>
      <c r="I1" s="2"/>
      <c r="J1" s="2"/>
      <c r="K1" s="2"/>
      <c r="L1" s="2"/>
      <c r="M1" s="2"/>
      <c r="N1" s="1"/>
    </row>
    <row r="2" spans="1:14">
      <c r="A2" s="1"/>
      <c r="B2" s="1"/>
      <c r="C2" s="1"/>
      <c r="D2" s="1"/>
      <c r="E2" s="1"/>
      <c r="F2" s="1"/>
      <c r="G2" s="1"/>
      <c r="H2" s="1"/>
      <c r="I2" s="2"/>
      <c r="J2" s="2"/>
      <c r="K2" s="2"/>
      <c r="L2" s="2"/>
      <c r="M2" s="2"/>
      <c r="N2" s="1"/>
    </row>
    <row r="3" spans="1:14">
      <c r="A3" s="1"/>
      <c r="B3" s="3" t="s">
        <v>0</v>
      </c>
      <c r="C3" s="3" t="s">
        <v>1</v>
      </c>
      <c r="D3" s="3" t="s">
        <v>2</v>
      </c>
      <c r="E3" s="3" t="s">
        <v>3</v>
      </c>
      <c r="F3" s="3" t="s">
        <v>4</v>
      </c>
      <c r="G3" s="3" t="s">
        <v>5</v>
      </c>
      <c r="H3" s="3" t="s">
        <v>6</v>
      </c>
      <c r="I3" s="4" t="s">
        <v>7</v>
      </c>
      <c r="J3" s="4" t="s">
        <v>8</v>
      </c>
      <c r="K3" s="4" t="s">
        <v>9</v>
      </c>
      <c r="L3" s="4" t="s">
        <v>10</v>
      </c>
      <c r="M3" s="5" t="s">
        <v>11</v>
      </c>
      <c r="N3" s="1"/>
    </row>
    <row r="4" spans="1:14">
      <c r="A4" s="1" t="s">
        <v>13</v>
      </c>
      <c r="B4" s="6" t="s">
        <v>14</v>
      </c>
      <c r="C4" s="6" t="s">
        <v>15</v>
      </c>
      <c r="D4" s="7" t="s">
        <v>16</v>
      </c>
      <c r="E4" s="8" t="s">
        <v>17</v>
      </c>
      <c r="F4" s="8" t="s">
        <v>18</v>
      </c>
      <c r="G4" s="8" t="s">
        <v>19</v>
      </c>
      <c r="H4" s="9" t="s">
        <v>20</v>
      </c>
      <c r="I4" s="10">
        <v>22.49</v>
      </c>
      <c r="J4" s="10">
        <v>130</v>
      </c>
      <c r="K4" s="10">
        <f t="shared" ref="K4:K5" si="0">I4*J4</f>
        <v>2923.7</v>
      </c>
      <c r="L4" s="11">
        <f t="shared" ref="L4:L5" si="1">K4*12</f>
        <v>35084.399999999994</v>
      </c>
      <c r="M4" s="12">
        <f t="shared" ref="M4:M5" si="2">L4*3</f>
        <v>105253.19999999998</v>
      </c>
      <c r="N4" s="1"/>
    </row>
    <row r="5" spans="1:14">
      <c r="A5" s="1"/>
      <c r="B5" s="13" t="s">
        <v>22</v>
      </c>
      <c r="C5" s="13" t="s">
        <v>15</v>
      </c>
      <c r="D5" s="14" t="s">
        <v>23</v>
      </c>
      <c r="E5" s="15" t="s">
        <v>24</v>
      </c>
      <c r="F5" s="15" t="s">
        <v>25</v>
      </c>
      <c r="G5" s="15" t="s">
        <v>19</v>
      </c>
      <c r="H5" s="16" t="s">
        <v>26</v>
      </c>
      <c r="I5" s="17">
        <v>33.74</v>
      </c>
      <c r="J5" s="18">
        <v>130</v>
      </c>
      <c r="K5" s="18">
        <f t="shared" si="0"/>
        <v>4386.2</v>
      </c>
      <c r="L5" s="18">
        <f t="shared" si="1"/>
        <v>52634.399999999994</v>
      </c>
      <c r="M5" s="19">
        <f t="shared" si="2"/>
        <v>157903.19999999998</v>
      </c>
      <c r="N5" s="1"/>
    </row>
    <row r="6" spans="1:14">
      <c r="A6" s="1"/>
      <c r="B6" s="20"/>
      <c r="C6" s="20"/>
      <c r="D6" s="21"/>
      <c r="E6" s="22"/>
      <c r="F6" s="58" t="s">
        <v>27</v>
      </c>
      <c r="G6" s="59"/>
      <c r="H6" s="60"/>
      <c r="I6" s="23"/>
      <c r="J6" s="23"/>
      <c r="K6" s="23"/>
      <c r="L6" s="23"/>
      <c r="M6" s="24"/>
      <c r="N6" s="1"/>
    </row>
    <row r="7" spans="1:14">
      <c r="A7" s="1"/>
      <c r="B7" s="25" t="s">
        <v>21</v>
      </c>
      <c r="C7" s="25" t="s">
        <v>15</v>
      </c>
      <c r="D7" s="26" t="s">
        <v>29</v>
      </c>
      <c r="E7" s="27" t="s">
        <v>30</v>
      </c>
      <c r="F7" s="27" t="s">
        <v>31</v>
      </c>
      <c r="G7" s="27" t="s">
        <v>32</v>
      </c>
      <c r="H7" s="27" t="s">
        <v>33</v>
      </c>
      <c r="I7" s="11">
        <v>1.26</v>
      </c>
      <c r="J7" s="11">
        <v>130</v>
      </c>
      <c r="K7" s="11">
        <f t="shared" ref="K7:K34" si="3">I7*J7</f>
        <v>163.80000000000001</v>
      </c>
      <c r="L7" s="11">
        <f t="shared" ref="L7:L34" si="4">K7*12</f>
        <v>1965.6000000000001</v>
      </c>
      <c r="M7" s="12">
        <f t="shared" ref="M7:M34" si="5">L7*3</f>
        <v>5896.8</v>
      </c>
      <c r="N7" s="1"/>
    </row>
    <row r="8" spans="1:14">
      <c r="A8" s="1"/>
      <c r="B8" s="25" t="s">
        <v>34</v>
      </c>
      <c r="C8" s="25" t="s">
        <v>15</v>
      </c>
      <c r="D8" s="26" t="s">
        <v>35</v>
      </c>
      <c r="E8" s="27" t="s">
        <v>36</v>
      </c>
      <c r="F8" s="27" t="s">
        <v>37</v>
      </c>
      <c r="G8" s="27" t="s">
        <v>32</v>
      </c>
      <c r="H8" s="27" t="s">
        <v>38</v>
      </c>
      <c r="I8" s="11">
        <v>6.06</v>
      </c>
      <c r="J8" s="11">
        <v>130</v>
      </c>
      <c r="K8" s="11">
        <f t="shared" si="3"/>
        <v>787.8</v>
      </c>
      <c r="L8" s="11">
        <f t="shared" si="4"/>
        <v>9453.5999999999985</v>
      </c>
      <c r="M8" s="12">
        <f t="shared" si="5"/>
        <v>28360.799999999996</v>
      </c>
      <c r="N8" s="1"/>
    </row>
    <row r="9" spans="1:14">
      <c r="A9" s="1"/>
      <c r="B9" s="25" t="s">
        <v>39</v>
      </c>
      <c r="C9" s="25" t="s">
        <v>15</v>
      </c>
      <c r="D9" s="26" t="s">
        <v>40</v>
      </c>
      <c r="E9" s="27" t="s">
        <v>41</v>
      </c>
      <c r="F9" s="27" t="s">
        <v>42</v>
      </c>
      <c r="G9" s="27" t="s">
        <v>43</v>
      </c>
      <c r="H9" s="28" t="s">
        <v>44</v>
      </c>
      <c r="I9" s="11">
        <v>86.55</v>
      </c>
      <c r="J9" s="11">
        <v>130</v>
      </c>
      <c r="K9" s="11">
        <f t="shared" si="3"/>
        <v>11251.5</v>
      </c>
      <c r="L9" s="11">
        <f t="shared" si="4"/>
        <v>135018</v>
      </c>
      <c r="M9" s="12">
        <f t="shared" si="5"/>
        <v>405054</v>
      </c>
      <c r="N9" s="1"/>
    </row>
    <row r="10" spans="1:14">
      <c r="A10" s="1"/>
      <c r="B10" s="25" t="s">
        <v>45</v>
      </c>
      <c r="C10" s="25" t="s">
        <v>15</v>
      </c>
      <c r="D10" s="26" t="s">
        <v>46</v>
      </c>
      <c r="E10" s="27" t="s">
        <v>47</v>
      </c>
      <c r="F10" s="27" t="s">
        <v>48</v>
      </c>
      <c r="G10" s="27" t="s">
        <v>19</v>
      </c>
      <c r="H10" s="28" t="s">
        <v>49</v>
      </c>
      <c r="I10" s="11">
        <v>91.76</v>
      </c>
      <c r="J10" s="11">
        <v>130</v>
      </c>
      <c r="K10" s="11">
        <f t="shared" si="3"/>
        <v>11928.800000000001</v>
      </c>
      <c r="L10" s="11">
        <f t="shared" si="4"/>
        <v>143145.60000000001</v>
      </c>
      <c r="M10" s="12">
        <f t="shared" si="5"/>
        <v>429436.80000000005</v>
      </c>
      <c r="N10" s="1"/>
    </row>
    <row r="11" spans="1:14">
      <c r="A11" s="1"/>
      <c r="B11" s="25" t="s">
        <v>28</v>
      </c>
      <c r="C11" s="25" t="s">
        <v>15</v>
      </c>
      <c r="D11" s="26" t="s">
        <v>51</v>
      </c>
      <c r="E11" s="27" t="s">
        <v>52</v>
      </c>
      <c r="F11" s="27" t="s">
        <v>53</v>
      </c>
      <c r="G11" s="27" t="s">
        <v>54</v>
      </c>
      <c r="H11" s="29" t="s">
        <v>55</v>
      </c>
      <c r="I11" s="30">
        <v>0.03</v>
      </c>
      <c r="J11" s="11">
        <v>130</v>
      </c>
      <c r="K11" s="11">
        <f t="shared" si="3"/>
        <v>3.9</v>
      </c>
      <c r="L11" s="11">
        <f t="shared" si="4"/>
        <v>46.8</v>
      </c>
      <c r="M11" s="12">
        <f t="shared" si="5"/>
        <v>140.39999999999998</v>
      </c>
      <c r="N11" s="1"/>
    </row>
    <row r="12" spans="1:14">
      <c r="A12" s="1"/>
      <c r="B12" s="25" t="s">
        <v>56</v>
      </c>
      <c r="C12" s="25" t="s">
        <v>15</v>
      </c>
      <c r="D12" s="26" t="s">
        <v>57</v>
      </c>
      <c r="E12" s="27" t="s">
        <v>58</v>
      </c>
      <c r="F12" s="27" t="s">
        <v>59</v>
      </c>
      <c r="G12" s="27"/>
      <c r="H12" s="28" t="s">
        <v>60</v>
      </c>
      <c r="I12" s="11">
        <v>0.76</v>
      </c>
      <c r="J12" s="11">
        <v>130</v>
      </c>
      <c r="K12" s="11">
        <f t="shared" si="3"/>
        <v>98.8</v>
      </c>
      <c r="L12" s="11">
        <f t="shared" si="4"/>
        <v>1185.5999999999999</v>
      </c>
      <c r="M12" s="12">
        <f t="shared" si="5"/>
        <v>3556.7999999999997</v>
      </c>
      <c r="N12" s="1"/>
    </row>
    <row r="13" spans="1:14">
      <c r="A13" s="1"/>
      <c r="B13" s="25" t="s">
        <v>50</v>
      </c>
      <c r="C13" s="25" t="s">
        <v>15</v>
      </c>
      <c r="D13" s="26" t="s">
        <v>61</v>
      </c>
      <c r="E13" s="31" t="s">
        <v>62</v>
      </c>
      <c r="F13" s="27" t="s">
        <v>63</v>
      </c>
      <c r="G13" s="27"/>
      <c r="H13" s="28" t="s">
        <v>64</v>
      </c>
      <c r="I13" s="11">
        <v>0</v>
      </c>
      <c r="J13" s="11">
        <v>130</v>
      </c>
      <c r="K13" s="11">
        <f t="shared" si="3"/>
        <v>0</v>
      </c>
      <c r="L13" s="11">
        <f t="shared" si="4"/>
        <v>0</v>
      </c>
      <c r="M13" s="12">
        <f t="shared" si="5"/>
        <v>0</v>
      </c>
      <c r="N13" s="1"/>
    </row>
    <row r="14" spans="1:14">
      <c r="A14" s="1"/>
      <c r="B14" s="25" t="s">
        <v>65</v>
      </c>
      <c r="C14" s="25" t="s">
        <v>15</v>
      </c>
      <c r="D14" s="26" t="s">
        <v>66</v>
      </c>
      <c r="E14" s="31" t="s">
        <v>67</v>
      </c>
      <c r="F14" s="27"/>
      <c r="G14" s="27"/>
      <c r="H14" s="28" t="s">
        <v>68</v>
      </c>
      <c r="I14" s="32">
        <v>0</v>
      </c>
      <c r="J14" s="11">
        <v>130</v>
      </c>
      <c r="K14" s="11">
        <f t="shared" si="3"/>
        <v>0</v>
      </c>
      <c r="L14" s="11">
        <f t="shared" si="4"/>
        <v>0</v>
      </c>
      <c r="M14" s="12">
        <f t="shared" si="5"/>
        <v>0</v>
      </c>
      <c r="N14" s="1"/>
    </row>
    <row r="15" spans="1:14">
      <c r="A15" s="1"/>
      <c r="B15" s="25" t="s">
        <v>69</v>
      </c>
      <c r="C15" s="25" t="s">
        <v>15</v>
      </c>
      <c r="D15" s="26" t="s">
        <v>70</v>
      </c>
      <c r="E15" s="33" t="s">
        <v>71</v>
      </c>
      <c r="F15" s="27" t="s">
        <v>72</v>
      </c>
      <c r="G15" s="27" t="s">
        <v>73</v>
      </c>
      <c r="H15" s="28" t="s">
        <v>74</v>
      </c>
      <c r="I15" s="11">
        <v>0.1</v>
      </c>
      <c r="J15" s="11">
        <v>130</v>
      </c>
      <c r="K15" s="11">
        <f t="shared" si="3"/>
        <v>13</v>
      </c>
      <c r="L15" s="11">
        <f t="shared" si="4"/>
        <v>156</v>
      </c>
      <c r="M15" s="12">
        <f t="shared" si="5"/>
        <v>468</v>
      </c>
      <c r="N15" s="1"/>
    </row>
    <row r="16" spans="1:14">
      <c r="A16" s="1"/>
      <c r="B16" s="34" t="s">
        <v>75</v>
      </c>
      <c r="C16" s="25" t="s">
        <v>15</v>
      </c>
      <c r="D16" s="26" t="s">
        <v>76</v>
      </c>
      <c r="E16" s="27" t="s">
        <v>77</v>
      </c>
      <c r="F16" s="27" t="s">
        <v>78</v>
      </c>
      <c r="G16" s="27"/>
      <c r="H16" s="28" t="s">
        <v>79</v>
      </c>
      <c r="I16" s="11">
        <v>0.2</v>
      </c>
      <c r="J16" s="11">
        <v>130</v>
      </c>
      <c r="K16" s="11">
        <f t="shared" si="3"/>
        <v>26</v>
      </c>
      <c r="L16" s="11">
        <f t="shared" si="4"/>
        <v>312</v>
      </c>
      <c r="M16" s="12">
        <f t="shared" si="5"/>
        <v>936</v>
      </c>
      <c r="N16" s="1"/>
    </row>
    <row r="17" spans="1:14">
      <c r="A17" s="1"/>
      <c r="B17" s="25" t="s">
        <v>81</v>
      </c>
      <c r="C17" s="25" t="s">
        <v>15</v>
      </c>
      <c r="D17" s="26" t="s">
        <v>82</v>
      </c>
      <c r="E17" s="27" t="s">
        <v>83</v>
      </c>
      <c r="F17" s="27"/>
      <c r="G17" s="27"/>
      <c r="H17" s="28" t="s">
        <v>84</v>
      </c>
      <c r="I17" s="11">
        <v>0</v>
      </c>
      <c r="J17" s="11">
        <v>130</v>
      </c>
      <c r="K17" s="11">
        <f t="shared" si="3"/>
        <v>0</v>
      </c>
      <c r="L17" s="11">
        <f t="shared" si="4"/>
        <v>0</v>
      </c>
      <c r="M17" s="12">
        <f t="shared" si="5"/>
        <v>0</v>
      </c>
      <c r="N17" s="1"/>
    </row>
    <row r="18" spans="1:14">
      <c r="A18" s="1"/>
      <c r="B18" s="35" t="s">
        <v>87</v>
      </c>
      <c r="C18" s="35" t="s">
        <v>15</v>
      </c>
      <c r="D18" s="36" t="s">
        <v>88</v>
      </c>
      <c r="E18" s="37" t="s">
        <v>41</v>
      </c>
      <c r="F18" s="37" t="s">
        <v>90</v>
      </c>
      <c r="G18" s="37" t="s">
        <v>19</v>
      </c>
      <c r="H18" s="38" t="s">
        <v>91</v>
      </c>
      <c r="I18" s="39">
        <v>11.87</v>
      </c>
      <c r="J18" s="39">
        <v>130</v>
      </c>
      <c r="K18" s="39">
        <f t="shared" si="3"/>
        <v>1543.1</v>
      </c>
      <c r="L18" s="39">
        <f t="shared" si="4"/>
        <v>18517.199999999997</v>
      </c>
      <c r="M18" s="40">
        <f t="shared" si="5"/>
        <v>55551.599999999991</v>
      </c>
      <c r="N18" s="1"/>
    </row>
    <row r="19" spans="1:14">
      <c r="A19" s="1" t="s">
        <v>92</v>
      </c>
      <c r="B19" s="6" t="s">
        <v>14</v>
      </c>
      <c r="C19" s="6" t="s">
        <v>93</v>
      </c>
      <c r="D19" s="7" t="s">
        <v>94</v>
      </c>
      <c r="E19" s="8" t="s">
        <v>17</v>
      </c>
      <c r="F19" s="8" t="s">
        <v>18</v>
      </c>
      <c r="G19" s="8" t="s">
        <v>19</v>
      </c>
      <c r="H19" s="41" t="s">
        <v>20</v>
      </c>
      <c r="I19" s="10">
        <v>22.49</v>
      </c>
      <c r="J19" s="10">
        <v>130</v>
      </c>
      <c r="K19" s="10">
        <f t="shared" si="3"/>
        <v>2923.7</v>
      </c>
      <c r="L19" s="10">
        <f t="shared" si="4"/>
        <v>35084.399999999994</v>
      </c>
      <c r="M19" s="42">
        <f t="shared" si="5"/>
        <v>105253.19999999998</v>
      </c>
      <c r="N19" s="1"/>
    </row>
    <row r="20" spans="1:14">
      <c r="A20" s="1"/>
      <c r="B20" s="25" t="s">
        <v>22</v>
      </c>
      <c r="C20" s="25" t="s">
        <v>93</v>
      </c>
      <c r="D20" s="26" t="s">
        <v>95</v>
      </c>
      <c r="E20" s="27" t="s">
        <v>24</v>
      </c>
      <c r="F20" s="27" t="s">
        <v>25</v>
      </c>
      <c r="G20" s="27" t="s">
        <v>19</v>
      </c>
      <c r="H20" s="43" t="s">
        <v>26</v>
      </c>
      <c r="I20" s="44">
        <v>33.74</v>
      </c>
      <c r="J20" s="11">
        <v>130</v>
      </c>
      <c r="K20" s="11">
        <f t="shared" si="3"/>
        <v>4386.2</v>
      </c>
      <c r="L20" s="11">
        <f t="shared" si="4"/>
        <v>52634.399999999994</v>
      </c>
      <c r="M20" s="12">
        <f t="shared" si="5"/>
        <v>157903.19999999998</v>
      </c>
      <c r="N20" s="1"/>
    </row>
    <row r="21" spans="1:14">
      <c r="A21" s="1"/>
      <c r="B21" s="25" t="s">
        <v>21</v>
      </c>
      <c r="C21" s="25" t="s">
        <v>93</v>
      </c>
      <c r="D21" s="26" t="s">
        <v>96</v>
      </c>
      <c r="E21" s="27" t="s">
        <v>30</v>
      </c>
      <c r="F21" s="27" t="s">
        <v>97</v>
      </c>
      <c r="G21" s="27" t="s">
        <v>98</v>
      </c>
      <c r="H21" s="28" t="s">
        <v>99</v>
      </c>
      <c r="I21" s="11">
        <v>0.38</v>
      </c>
      <c r="J21" s="11">
        <v>130</v>
      </c>
      <c r="K21" s="11">
        <f t="shared" si="3"/>
        <v>49.4</v>
      </c>
      <c r="L21" s="11">
        <f t="shared" si="4"/>
        <v>592.79999999999995</v>
      </c>
      <c r="M21" s="12">
        <f t="shared" si="5"/>
        <v>1778.3999999999999</v>
      </c>
      <c r="N21" s="1"/>
    </row>
    <row r="22" spans="1:14">
      <c r="A22" s="1"/>
      <c r="B22" s="25" t="s">
        <v>34</v>
      </c>
      <c r="C22" s="25" t="s">
        <v>93</v>
      </c>
      <c r="D22" s="26" t="s">
        <v>100</v>
      </c>
      <c r="E22" s="27" t="s">
        <v>36</v>
      </c>
      <c r="F22" s="27" t="s">
        <v>37</v>
      </c>
      <c r="G22" s="27" t="s">
        <v>98</v>
      </c>
      <c r="H22" s="28" t="s">
        <v>101</v>
      </c>
      <c r="I22" s="11">
        <v>6.02</v>
      </c>
      <c r="J22" s="11">
        <v>130</v>
      </c>
      <c r="K22" s="11">
        <f t="shared" si="3"/>
        <v>782.59999999999991</v>
      </c>
      <c r="L22" s="11">
        <f t="shared" si="4"/>
        <v>9391.1999999999989</v>
      </c>
      <c r="M22" s="12">
        <f t="shared" si="5"/>
        <v>28173.599999999999</v>
      </c>
      <c r="N22" s="1"/>
    </row>
    <row r="23" spans="1:14">
      <c r="A23" s="1"/>
      <c r="B23" s="25" t="s">
        <v>39</v>
      </c>
      <c r="C23" s="25" t="s">
        <v>93</v>
      </c>
      <c r="D23" s="26" t="s">
        <v>102</v>
      </c>
      <c r="E23" s="27" t="s">
        <v>41</v>
      </c>
      <c r="F23" s="27" t="s">
        <v>42</v>
      </c>
      <c r="G23" s="27" t="s">
        <v>43</v>
      </c>
      <c r="H23" s="28" t="s">
        <v>44</v>
      </c>
      <c r="I23" s="11">
        <v>86.55</v>
      </c>
      <c r="J23" s="11">
        <v>130</v>
      </c>
      <c r="K23" s="11">
        <f t="shared" si="3"/>
        <v>11251.5</v>
      </c>
      <c r="L23" s="11">
        <f t="shared" si="4"/>
        <v>135018</v>
      </c>
      <c r="M23" s="12">
        <f t="shared" si="5"/>
        <v>405054</v>
      </c>
      <c r="N23" s="1"/>
    </row>
    <row r="24" spans="1:14">
      <c r="A24" s="1"/>
      <c r="B24" s="25" t="s">
        <v>45</v>
      </c>
      <c r="C24" s="25" t="s">
        <v>93</v>
      </c>
      <c r="D24" s="26" t="s">
        <v>46</v>
      </c>
      <c r="E24" s="27" t="s">
        <v>47</v>
      </c>
      <c r="F24" s="27" t="s">
        <v>103</v>
      </c>
      <c r="G24" s="27" t="s">
        <v>19</v>
      </c>
      <c r="H24" s="28" t="s">
        <v>104</v>
      </c>
      <c r="I24" s="11">
        <v>91.14</v>
      </c>
      <c r="J24" s="11">
        <v>130</v>
      </c>
      <c r="K24" s="11">
        <f t="shared" si="3"/>
        <v>11848.2</v>
      </c>
      <c r="L24" s="11">
        <f t="shared" si="4"/>
        <v>142178.40000000002</v>
      </c>
      <c r="M24" s="12">
        <f t="shared" si="5"/>
        <v>426535.20000000007</v>
      </c>
      <c r="N24" s="1"/>
    </row>
    <row r="25" spans="1:14">
      <c r="A25" s="1"/>
      <c r="B25" s="25" t="s">
        <v>28</v>
      </c>
      <c r="C25" s="25" t="s">
        <v>93</v>
      </c>
      <c r="D25" s="26" t="s">
        <v>51</v>
      </c>
      <c r="E25" s="27" t="s">
        <v>52</v>
      </c>
      <c r="F25" s="27" t="s">
        <v>53</v>
      </c>
      <c r="G25" s="27" t="s">
        <v>54</v>
      </c>
      <c r="H25" s="29" t="s">
        <v>55</v>
      </c>
      <c r="I25" s="30">
        <v>0.03</v>
      </c>
      <c r="J25" s="11">
        <v>130</v>
      </c>
      <c r="K25" s="11">
        <f t="shared" si="3"/>
        <v>3.9</v>
      </c>
      <c r="L25" s="11">
        <f t="shared" si="4"/>
        <v>46.8</v>
      </c>
      <c r="M25" s="12">
        <f t="shared" si="5"/>
        <v>140.39999999999998</v>
      </c>
      <c r="N25" s="1"/>
    </row>
    <row r="26" spans="1:14">
      <c r="A26" s="1"/>
      <c r="B26" s="25" t="s">
        <v>56</v>
      </c>
      <c r="C26" s="25" t="s">
        <v>93</v>
      </c>
      <c r="D26" s="26" t="s">
        <v>57</v>
      </c>
      <c r="E26" s="27" t="s">
        <v>58</v>
      </c>
      <c r="F26" s="27" t="s">
        <v>105</v>
      </c>
      <c r="G26" s="27"/>
      <c r="H26" s="28" t="s">
        <v>99</v>
      </c>
      <c r="I26" s="11">
        <v>0.38</v>
      </c>
      <c r="J26" s="11">
        <v>130</v>
      </c>
      <c r="K26" s="11">
        <f t="shared" si="3"/>
        <v>49.4</v>
      </c>
      <c r="L26" s="11">
        <f t="shared" si="4"/>
        <v>592.79999999999995</v>
      </c>
      <c r="M26" s="12">
        <f t="shared" si="5"/>
        <v>1778.3999999999999</v>
      </c>
      <c r="N26" s="1"/>
    </row>
    <row r="27" spans="1:14">
      <c r="A27" s="1"/>
      <c r="B27" s="25" t="s">
        <v>50</v>
      </c>
      <c r="C27" s="25" t="s">
        <v>93</v>
      </c>
      <c r="D27" s="26" t="s">
        <v>61</v>
      </c>
      <c r="E27" s="31" t="s">
        <v>62</v>
      </c>
      <c r="F27" s="27" t="s">
        <v>63</v>
      </c>
      <c r="G27" s="27"/>
      <c r="H27" s="28" t="s">
        <v>106</v>
      </c>
      <c r="I27" s="11">
        <v>0</v>
      </c>
      <c r="J27" s="11">
        <v>130</v>
      </c>
      <c r="K27" s="11">
        <f t="shared" si="3"/>
        <v>0</v>
      </c>
      <c r="L27" s="11">
        <f t="shared" si="4"/>
        <v>0</v>
      </c>
      <c r="M27" s="12">
        <f t="shared" si="5"/>
        <v>0</v>
      </c>
      <c r="N27" s="1"/>
    </row>
    <row r="28" spans="1:14">
      <c r="A28" s="1"/>
      <c r="B28" s="25" t="s">
        <v>65</v>
      </c>
      <c r="C28" s="25" t="s">
        <v>93</v>
      </c>
      <c r="D28" s="26" t="s">
        <v>107</v>
      </c>
      <c r="E28" s="31" t="s">
        <v>67</v>
      </c>
      <c r="F28" s="27"/>
      <c r="G28" s="27"/>
      <c r="H28" s="28" t="s">
        <v>108</v>
      </c>
      <c r="I28" s="32">
        <v>0</v>
      </c>
      <c r="J28" s="11">
        <v>130</v>
      </c>
      <c r="K28" s="11">
        <f t="shared" si="3"/>
        <v>0</v>
      </c>
      <c r="L28" s="11">
        <f t="shared" si="4"/>
        <v>0</v>
      </c>
      <c r="M28" s="12">
        <f t="shared" si="5"/>
        <v>0</v>
      </c>
      <c r="N28" s="1"/>
    </row>
    <row r="29" spans="1:14">
      <c r="A29" s="1"/>
      <c r="B29" s="25" t="s">
        <v>69</v>
      </c>
      <c r="C29" s="25" t="s">
        <v>93</v>
      </c>
      <c r="D29" s="26" t="s">
        <v>109</v>
      </c>
      <c r="E29" s="33" t="s">
        <v>71</v>
      </c>
      <c r="F29" s="27" t="s">
        <v>72</v>
      </c>
      <c r="G29" s="27" t="s">
        <v>110</v>
      </c>
      <c r="H29" s="28" t="s">
        <v>79</v>
      </c>
      <c r="I29" s="11">
        <v>0.2</v>
      </c>
      <c r="J29" s="11">
        <v>130</v>
      </c>
      <c r="K29" s="11">
        <f t="shared" si="3"/>
        <v>26</v>
      </c>
      <c r="L29" s="11">
        <f t="shared" si="4"/>
        <v>312</v>
      </c>
      <c r="M29" s="12">
        <f t="shared" si="5"/>
        <v>936</v>
      </c>
      <c r="N29" s="1"/>
    </row>
    <row r="30" spans="1:14">
      <c r="A30" s="1"/>
      <c r="B30" s="34" t="s">
        <v>75</v>
      </c>
      <c r="C30" s="25" t="s">
        <v>93</v>
      </c>
      <c r="D30" s="26" t="s">
        <v>111</v>
      </c>
      <c r="E30" s="27" t="s">
        <v>77</v>
      </c>
      <c r="F30" s="27" t="s">
        <v>78</v>
      </c>
      <c r="G30" s="27"/>
      <c r="H30" s="28" t="s">
        <v>79</v>
      </c>
      <c r="I30" s="11">
        <v>0.2</v>
      </c>
      <c r="J30" s="11">
        <v>130</v>
      </c>
      <c r="K30" s="11">
        <f t="shared" si="3"/>
        <v>26</v>
      </c>
      <c r="L30" s="11">
        <f t="shared" si="4"/>
        <v>312</v>
      </c>
      <c r="M30" s="12">
        <f t="shared" si="5"/>
        <v>936</v>
      </c>
      <c r="N30" s="1"/>
    </row>
    <row r="31" spans="1:14">
      <c r="A31" s="1"/>
      <c r="B31" s="25" t="s">
        <v>81</v>
      </c>
      <c r="C31" s="25" t="s">
        <v>93</v>
      </c>
      <c r="D31" s="26" t="s">
        <v>82</v>
      </c>
      <c r="E31" s="27" t="s">
        <v>83</v>
      </c>
      <c r="F31" s="27"/>
      <c r="G31" s="27"/>
      <c r="H31" s="28" t="s">
        <v>84</v>
      </c>
      <c r="I31" s="11">
        <v>0</v>
      </c>
      <c r="J31" s="11">
        <v>130</v>
      </c>
      <c r="K31" s="11">
        <f t="shared" si="3"/>
        <v>0</v>
      </c>
      <c r="L31" s="11">
        <f t="shared" si="4"/>
        <v>0</v>
      </c>
      <c r="M31" s="12">
        <f t="shared" si="5"/>
        <v>0</v>
      </c>
      <c r="N31" s="1"/>
    </row>
    <row r="32" spans="1:14">
      <c r="A32" s="1"/>
      <c r="B32" s="35" t="s">
        <v>87</v>
      </c>
      <c r="C32" s="35" t="s">
        <v>93</v>
      </c>
      <c r="D32" s="36" t="s">
        <v>112</v>
      </c>
      <c r="E32" s="37" t="s">
        <v>41</v>
      </c>
      <c r="F32" s="37" t="s">
        <v>90</v>
      </c>
      <c r="G32" s="37" t="s">
        <v>19</v>
      </c>
      <c r="H32" s="38" t="s">
        <v>91</v>
      </c>
      <c r="I32" s="39">
        <v>11.87</v>
      </c>
      <c r="J32" s="39">
        <v>130</v>
      </c>
      <c r="K32" s="39">
        <f t="shared" si="3"/>
        <v>1543.1</v>
      </c>
      <c r="L32" s="39">
        <f t="shared" si="4"/>
        <v>18517.199999999997</v>
      </c>
      <c r="M32" s="40">
        <f t="shared" si="5"/>
        <v>55551.599999999991</v>
      </c>
      <c r="N32" s="1"/>
    </row>
    <row r="33" spans="1:14">
      <c r="A33" s="1" t="s">
        <v>113</v>
      </c>
      <c r="B33" s="45" t="s">
        <v>12</v>
      </c>
      <c r="C33" s="6" t="s">
        <v>114</v>
      </c>
      <c r="D33" s="7" t="s">
        <v>115</v>
      </c>
      <c r="E33" s="46" t="s">
        <v>116</v>
      </c>
      <c r="F33" s="9" t="s">
        <v>117</v>
      </c>
      <c r="G33" s="9"/>
      <c r="H33" s="9" t="s">
        <v>118</v>
      </c>
      <c r="I33" s="47">
        <v>0.54</v>
      </c>
      <c r="J33" s="10">
        <v>130</v>
      </c>
      <c r="K33" s="10">
        <f t="shared" si="3"/>
        <v>70.2</v>
      </c>
      <c r="L33" s="10">
        <f t="shared" si="4"/>
        <v>842.40000000000009</v>
      </c>
      <c r="M33" s="42">
        <f t="shared" si="5"/>
        <v>2527.2000000000003</v>
      </c>
      <c r="N33" s="1"/>
    </row>
    <row r="34" spans="1:14">
      <c r="A34" s="1"/>
      <c r="B34" s="13" t="s">
        <v>119</v>
      </c>
      <c r="C34" s="13" t="s">
        <v>114</v>
      </c>
      <c r="D34" s="14" t="s">
        <v>120</v>
      </c>
      <c r="E34" s="48" t="s">
        <v>121</v>
      </c>
      <c r="F34" s="15" t="s">
        <v>122</v>
      </c>
      <c r="G34" s="15" t="s">
        <v>54</v>
      </c>
      <c r="H34" s="15" t="s">
        <v>123</v>
      </c>
      <c r="I34" s="18">
        <v>0</v>
      </c>
      <c r="J34" s="18">
        <v>130</v>
      </c>
      <c r="K34" s="18">
        <f t="shared" si="3"/>
        <v>0</v>
      </c>
      <c r="L34" s="18">
        <f t="shared" si="4"/>
        <v>0</v>
      </c>
      <c r="M34" s="19">
        <f t="shared" si="5"/>
        <v>0</v>
      </c>
      <c r="N34" s="1"/>
    </row>
    <row r="35" spans="1:14">
      <c r="A35" s="1"/>
      <c r="B35" s="20"/>
      <c r="C35" s="20"/>
      <c r="D35" s="21"/>
      <c r="E35" s="49"/>
      <c r="F35" s="58" t="s">
        <v>124</v>
      </c>
      <c r="G35" s="59"/>
      <c r="H35" s="60"/>
      <c r="I35" s="23"/>
      <c r="J35" s="23"/>
      <c r="K35" s="23"/>
      <c r="L35" s="23"/>
      <c r="M35" s="24"/>
      <c r="N35" s="1"/>
    </row>
    <row r="36" spans="1:14">
      <c r="A36" s="1"/>
      <c r="B36" s="50" t="s">
        <v>125</v>
      </c>
      <c r="C36" s="50" t="s">
        <v>114</v>
      </c>
      <c r="D36" s="51" t="s">
        <v>126</v>
      </c>
      <c r="E36" s="52" t="s">
        <v>127</v>
      </c>
      <c r="F36" s="53" t="s">
        <v>128</v>
      </c>
      <c r="G36" s="53" t="s">
        <v>129</v>
      </c>
      <c r="H36" s="53" t="s">
        <v>130</v>
      </c>
      <c r="I36" s="54">
        <v>0</v>
      </c>
      <c r="J36" s="54">
        <v>130</v>
      </c>
      <c r="K36" s="54">
        <f>I36*J36</f>
        <v>0</v>
      </c>
      <c r="L36" s="54">
        <f>K36*12</f>
        <v>0</v>
      </c>
      <c r="M36" s="55">
        <f>L36*3</f>
        <v>0</v>
      </c>
      <c r="N36" s="1"/>
    </row>
    <row r="37" spans="1:14">
      <c r="A37" s="1"/>
      <c r="B37" s="1"/>
      <c r="C37" s="56"/>
      <c r="D37" s="1"/>
      <c r="E37" s="1"/>
      <c r="F37" s="1"/>
      <c r="G37" s="1"/>
      <c r="H37" s="1"/>
      <c r="I37" s="2"/>
      <c r="J37" s="2"/>
      <c r="K37" s="2">
        <f t="shared" ref="K37:M37" si="6">SUM(K4:K36)</f>
        <v>66086.8</v>
      </c>
      <c r="L37" s="2">
        <f t="shared" si="6"/>
        <v>793041.60000000009</v>
      </c>
      <c r="M37" s="2">
        <f t="shared" si="6"/>
        <v>2379124.8000000003</v>
      </c>
      <c r="N37" s="1"/>
    </row>
    <row r="38" spans="1:14">
      <c r="A38" s="1"/>
      <c r="B38" s="1"/>
      <c r="C38" s="57"/>
      <c r="D38" s="1"/>
      <c r="E38" s="1"/>
      <c r="F38" s="1"/>
      <c r="G38" s="1"/>
      <c r="H38" s="1"/>
      <c r="I38" s="2"/>
      <c r="J38" s="2"/>
      <c r="K38" s="2"/>
      <c r="L38" s="2"/>
      <c r="M38" s="2"/>
      <c r="N38" s="1"/>
    </row>
    <row r="39" spans="1:14">
      <c r="A39" s="1"/>
      <c r="B39" s="1"/>
      <c r="C39" s="1"/>
      <c r="D39" s="1" t="s">
        <v>80</v>
      </c>
      <c r="E39" s="1"/>
      <c r="F39" s="1"/>
      <c r="G39" s="1"/>
      <c r="H39" s="1"/>
      <c r="I39" s="2"/>
      <c r="J39" s="2"/>
      <c r="K39" s="2"/>
      <c r="L39" s="2"/>
      <c r="M39" s="2"/>
      <c r="N39" s="1"/>
    </row>
    <row r="40" spans="1:14">
      <c r="A40" s="1"/>
      <c r="B40" s="1"/>
      <c r="C40" s="1"/>
      <c r="D40" s="61" t="s">
        <v>85</v>
      </c>
      <c r="E40" s="62"/>
      <c r="F40" s="1"/>
      <c r="G40" s="1"/>
      <c r="H40" s="1"/>
      <c r="I40" s="2"/>
      <c r="J40" s="2"/>
      <c r="K40" s="2"/>
      <c r="L40" s="2"/>
      <c r="M40" s="2"/>
      <c r="N40" s="1"/>
    </row>
    <row r="41" spans="1:14">
      <c r="A41" s="1"/>
      <c r="B41" s="1"/>
      <c r="C41" s="1"/>
      <c r="D41" s="61" t="s">
        <v>86</v>
      </c>
      <c r="E41" s="62"/>
      <c r="F41" s="1"/>
      <c r="G41" s="1"/>
      <c r="H41" s="1"/>
      <c r="I41" s="2"/>
      <c r="J41" s="2"/>
      <c r="K41" s="2"/>
      <c r="L41" s="2"/>
      <c r="M41" s="2"/>
      <c r="N41" s="1"/>
    </row>
    <row r="42" spans="1:14">
      <c r="A42" s="1"/>
      <c r="B42" s="1"/>
      <c r="C42" s="1"/>
      <c r="D42" s="61" t="s">
        <v>89</v>
      </c>
      <c r="E42" s="62"/>
      <c r="F42" s="1"/>
      <c r="G42" s="1"/>
      <c r="H42" s="1"/>
      <c r="I42" s="2"/>
      <c r="J42" s="2"/>
      <c r="K42" s="2"/>
      <c r="L42" s="2"/>
      <c r="M42" s="2"/>
      <c r="N42" s="1"/>
    </row>
    <row r="43" spans="1:14">
      <c r="A43" s="1"/>
      <c r="B43" s="1"/>
      <c r="C43" s="1"/>
      <c r="D43" s="1"/>
      <c r="E43" s="1"/>
      <c r="F43" s="1"/>
      <c r="G43" s="1"/>
      <c r="H43" s="1"/>
      <c r="I43" s="2"/>
      <c r="J43" s="2"/>
      <c r="K43" s="2"/>
      <c r="L43" s="2"/>
      <c r="M43" s="2"/>
      <c r="N43" s="1"/>
    </row>
    <row r="44" spans="1:14">
      <c r="A44" s="1"/>
      <c r="B44" s="1"/>
      <c r="C44" s="1"/>
      <c r="D44" s="1"/>
      <c r="E44" s="1"/>
      <c r="F44" s="1"/>
      <c r="G44" s="1"/>
      <c r="H44" s="1"/>
      <c r="I44" s="2"/>
      <c r="J44" s="2"/>
      <c r="K44" s="2"/>
      <c r="L44" s="2"/>
      <c r="M44" s="2"/>
      <c r="N44" s="1"/>
    </row>
    <row r="45" spans="1:14">
      <c r="A45" s="1"/>
      <c r="B45" s="1"/>
      <c r="C45" s="1"/>
      <c r="D45" s="1"/>
      <c r="E45" s="1"/>
      <c r="F45" s="1"/>
      <c r="G45" s="1"/>
      <c r="H45" s="1"/>
      <c r="I45" s="2"/>
      <c r="J45" s="2"/>
      <c r="K45" s="2"/>
      <c r="L45" s="2"/>
      <c r="M45" s="2"/>
      <c r="N45" s="1"/>
    </row>
    <row r="46" spans="1:14">
      <c r="A46" s="1"/>
      <c r="B46" s="1"/>
      <c r="C46" s="1"/>
      <c r="D46" s="1"/>
      <c r="E46" s="1"/>
      <c r="F46" s="1"/>
      <c r="G46" s="1"/>
      <c r="H46" s="1"/>
      <c r="I46" s="2"/>
      <c r="J46" s="2"/>
      <c r="K46" s="2"/>
      <c r="L46" s="2"/>
      <c r="M46" s="2"/>
      <c r="N46" s="1"/>
    </row>
    <row r="47" spans="1:14">
      <c r="A47" s="1"/>
      <c r="B47" s="1"/>
      <c r="I47" s="2"/>
      <c r="J47" s="2"/>
      <c r="K47" s="2"/>
      <c r="L47" s="2"/>
      <c r="M47" s="2"/>
      <c r="N47" s="1"/>
    </row>
  </sheetData>
  <mergeCells count="5">
    <mergeCell ref="F6:H6"/>
    <mergeCell ref="F35:H35"/>
    <mergeCell ref="D40:E40"/>
    <mergeCell ref="D41:E41"/>
    <mergeCell ref="D42:E42"/>
  </mergeCells>
  <phoneticPr fontId="10"/>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見積もり資料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顕彰 我有</cp:lastModifiedBy>
  <dcterms:modified xsi:type="dcterms:W3CDTF">2026-10-18T00:15:08Z</dcterms:modified>
</cp:coreProperties>
</file>